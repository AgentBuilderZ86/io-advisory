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ce Priorisation" sheetId="1" state="visible" r:id="rId1"/>
    <sheet name="Méthodolog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0A896"/>
      <sz val="11"/>
    </font>
    <font>
      <name val="Calibri"/>
      <b val="1"/>
      <color rgb="00FFFFFF"/>
      <sz val="18"/>
    </font>
    <font>
      <name val="Calibri"/>
      <color rgb="00DCE6F2"/>
      <sz val="10"/>
    </font>
    <font>
      <name val="Calibri"/>
      <b val="1"/>
      <color rgb="000D2B45"/>
      <sz val="10"/>
    </font>
    <font>
      <b val="1"/>
      <color rgb="00C9972B"/>
    </font>
    <font>
      <b val="1"/>
      <color rgb="00FFFFFF"/>
    </font>
    <font>
      <name val="Calibri"/>
      <b val="1"/>
      <color rgb="00FFFFFF"/>
      <sz val="10"/>
    </font>
    <font>
      <name val="Calibri"/>
      <color rgb="006B7A99"/>
      <sz val="9"/>
    </font>
    <font>
      <name val="Calibri"/>
      <color rgb="001A2744"/>
      <sz val="10"/>
    </font>
    <font>
      <b val="1"/>
      <color rgb="001F4E79"/>
    </font>
    <font>
      <b val="1"/>
      <color rgb="0000A896"/>
    </font>
  </fonts>
  <fills count="8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1F4E79"/>
      </patternFill>
    </fill>
    <fill>
      <patternFill patternType="solid">
        <fgColor rgb="00C9972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8E0EC"/>
      </left>
      <right style="thin">
        <color rgb="00D8E0EC"/>
      </right>
      <top style="thin">
        <color rgb="00D8E0EC"/>
      </top>
      <bottom style="thin">
        <color rgb="00D8E0E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Scores pondérés des use cases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'Matrice Priorisation'!I7</f>
            </strRef>
          </tx>
          <spPr>
            <a:ln>
              <a:prstDash val="solid"/>
            </a:ln>
          </spPr>
          <cat>
            <numRef>
              <f>'Matrice Priorisation'!$B$8:$B$17</f>
            </numRef>
          </cat>
          <val>
            <numRef>
              <f>'Matrice Priorisation'!$I$8:$I$17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3" customWidth="1" min="4" max="4"/>
    <col width="12" customWidth="1" min="5" max="5"/>
    <col width="14" customWidth="1" min="6" max="6"/>
    <col width="11" customWidth="1" min="7" max="7"/>
    <col width="12" customWidth="1" min="8" max="8"/>
    <col width="15" customWidth="1" min="9" max="9"/>
  </cols>
  <sheetData>
    <row r="1" ht="18" customHeight="1">
      <c r="A1" s="1" t="inlineStr">
        <is>
          <t xml:space="preserve">  SIA  ·  COSUMAR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Matrice de priorisation des Use Cases IA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18" customHeight="1">
      <c r="A4" s="5" t="inlineStr">
        <is>
          <t>Scoring multicritère pondéré · ranking automatique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6" ht="20" customHeight="1">
      <c r="A6" s="6" t="inlineStr">
        <is>
          <t>Pondérations →</t>
        </is>
      </c>
      <c r="D6" s="7" t="inlineStr">
        <is>
          <t>30%</t>
        </is>
      </c>
      <c r="E6" s="7" t="inlineStr">
        <is>
          <t>25%</t>
        </is>
      </c>
      <c r="F6" s="7" t="inlineStr">
        <is>
          <t>15%</t>
        </is>
      </c>
      <c r="G6" s="7" t="inlineStr">
        <is>
          <t>20%</t>
        </is>
      </c>
      <c r="H6" s="7" t="inlineStr">
        <is>
          <t>10%</t>
        </is>
      </c>
    </row>
    <row r="7" ht="28" customHeight="1">
      <c r="A7" s="8" t="inlineStr">
        <is>
          <t>Rang</t>
        </is>
      </c>
      <c r="B7" s="8" t="inlineStr">
        <is>
          <t>Use Case</t>
        </is>
      </c>
      <c r="C7" s="8" t="inlineStr">
        <is>
          <t>Direction</t>
        </is>
      </c>
      <c r="D7" s="8" t="inlineStr">
        <is>
          <t>Valeur métier</t>
        </is>
      </c>
      <c r="E7" s="8" t="inlineStr">
        <is>
          <t>Faisabilité</t>
        </is>
      </c>
      <c r="F7" s="8" t="inlineStr">
        <is>
          <t>Complexité inv.</t>
        </is>
      </c>
      <c r="G7" s="8" t="inlineStr">
        <is>
          <t>Impact</t>
        </is>
      </c>
      <c r="H7" s="8" t="inlineStr">
        <is>
          <t>Timeline</t>
        </is>
      </c>
      <c r="I7" s="8" t="inlineStr">
        <is>
          <t>Score pondéré</t>
        </is>
      </c>
    </row>
    <row r="8" ht="24" customHeight="1">
      <c r="A8" s="9">
        <f>RANK(I8,$I$8:$I$17)</f>
        <v/>
      </c>
      <c r="B8" s="10" t="inlineStr">
        <is>
          <t>OCR factures fournisseurs</t>
        </is>
      </c>
      <c r="C8" s="11" t="inlineStr">
        <is>
          <t>Financière</t>
        </is>
      </c>
      <c r="D8" s="12" t="n">
        <v>4</v>
      </c>
      <c r="E8" s="12" t="n">
        <v>5</v>
      </c>
      <c r="F8" s="12" t="n">
        <v>5</v>
      </c>
      <c r="G8" s="12" t="n">
        <v>4</v>
      </c>
      <c r="H8" s="12" t="n">
        <v>5</v>
      </c>
      <c r="I8" s="13">
        <f>ROUND(D8*0.3+E8*0.25+F8*0.15+G8*0.2+H8*0.1,2)</f>
        <v/>
      </c>
    </row>
    <row r="9" ht="24" customHeight="1">
      <c r="A9" s="14">
        <f>RANK(I9,$I$8:$I$17)</f>
        <v/>
      </c>
      <c r="B9" s="15" t="inlineStr">
        <is>
          <t>Demand forecasting sucre</t>
        </is>
      </c>
      <c r="C9" s="16" t="inlineStr">
        <is>
          <t>Supply Chain</t>
        </is>
      </c>
      <c r="D9" s="17" t="n">
        <v>5</v>
      </c>
      <c r="E9" s="17" t="n">
        <v>4</v>
      </c>
      <c r="F9" s="17" t="n">
        <v>4</v>
      </c>
      <c r="G9" s="17" t="n">
        <v>4</v>
      </c>
      <c r="H9" s="17" t="n">
        <v>5</v>
      </c>
      <c r="I9" s="18">
        <f>ROUND(D9*0.3+E9*0.25+F9*0.15+G9*0.2+H9*0.1,2)</f>
        <v/>
      </c>
    </row>
    <row r="10" ht="24" customHeight="1">
      <c r="A10" s="9">
        <f>RANK(I10,$I$8:$I$17)</f>
        <v/>
      </c>
      <c r="B10" s="10" t="inlineStr">
        <is>
          <t>Détection anomalies énergie</t>
        </is>
      </c>
      <c r="C10" s="11" t="inlineStr">
        <is>
          <t>Industrielle</t>
        </is>
      </c>
      <c r="D10" s="12" t="n">
        <v>4</v>
      </c>
      <c r="E10" s="12" t="n">
        <v>4</v>
      </c>
      <c r="F10" s="12" t="n">
        <v>4</v>
      </c>
      <c r="G10" s="12" t="n">
        <v>4</v>
      </c>
      <c r="H10" s="12" t="n">
        <v>5</v>
      </c>
      <c r="I10" s="13">
        <f>ROUND(D10*0.3+E10*0.25+F10*0.15+G10*0.2+H10*0.1,2)</f>
        <v/>
      </c>
    </row>
    <row r="11" ht="24" customHeight="1">
      <c r="A11" s="14">
        <f>RANK(I11,$I$8:$I$17)</f>
        <v/>
      </c>
      <c r="B11" s="15" t="inlineStr">
        <is>
          <t>Chatbot RH CorpGPT</t>
        </is>
      </c>
      <c r="C11" s="16" t="inlineStr">
        <is>
          <t>RH</t>
        </is>
      </c>
      <c r="D11" s="17" t="n">
        <v>4</v>
      </c>
      <c r="E11" s="17" t="n">
        <v>4</v>
      </c>
      <c r="F11" s="17" t="n">
        <v>3</v>
      </c>
      <c r="G11" s="17" t="n">
        <v>4</v>
      </c>
      <c r="H11" s="17" t="n">
        <v>4</v>
      </c>
      <c r="I11" s="18">
        <f>ROUND(D11*0.3+E11*0.25+F11*0.15+G11*0.2+H11*0.1,2)</f>
        <v/>
      </c>
    </row>
    <row r="12" ht="24" customHeight="1">
      <c r="A12" s="9">
        <f>RANK(I12,$I$8:$I$17)</f>
        <v/>
      </c>
      <c r="B12" s="10" t="inlineStr">
        <is>
          <t>Maintenance prédictive turbines</t>
        </is>
      </c>
      <c r="C12" s="11" t="inlineStr">
        <is>
          <t>Industrielle</t>
        </is>
      </c>
      <c r="D12" s="12" t="n">
        <v>5</v>
      </c>
      <c r="E12" s="12" t="n">
        <v>3</v>
      </c>
      <c r="F12" s="12" t="n">
        <v>3</v>
      </c>
      <c r="G12" s="12" t="n">
        <v>5</v>
      </c>
      <c r="H12" s="12" t="n">
        <v>3</v>
      </c>
      <c r="I12" s="13">
        <f>ROUND(D12*0.3+E12*0.25+F12*0.15+G12*0.2+H12*0.1,2)</f>
        <v/>
      </c>
    </row>
    <row r="13" ht="24" customHeight="1">
      <c r="A13" s="14">
        <f>RANK(I13,$I$8:$I$17)</f>
        <v/>
      </c>
      <c r="B13" s="15" t="inlineStr">
        <is>
          <t>Route optimization livraisons</t>
        </is>
      </c>
      <c r="C13" s="16" t="inlineStr">
        <is>
          <t>Supply Chain</t>
        </is>
      </c>
      <c r="D13" s="17" t="n">
        <v>4</v>
      </c>
      <c r="E13" s="17" t="n">
        <v>3</v>
      </c>
      <c r="F13" s="17" t="n">
        <v>3</v>
      </c>
      <c r="G13" s="17" t="n">
        <v>4</v>
      </c>
      <c r="H13" s="17" t="n">
        <v>4</v>
      </c>
      <c r="I13" s="18">
        <f>ROUND(D13*0.3+E13*0.25+F13*0.15+G13*0.2+H13*0.1,2)</f>
        <v/>
      </c>
    </row>
    <row r="14" ht="24" customHeight="1">
      <c r="A14" s="9">
        <f>RANK(I14,$I$8:$I$17)</f>
        <v/>
      </c>
      <c r="B14" s="10" t="inlineStr">
        <is>
          <t>Analyse contrats NLP</t>
        </is>
      </c>
      <c r="C14" s="11" t="inlineStr">
        <is>
          <t>Juridique</t>
        </is>
      </c>
      <c r="D14" s="12" t="n">
        <v>3</v>
      </c>
      <c r="E14" s="12" t="n">
        <v>3</v>
      </c>
      <c r="F14" s="12" t="n">
        <v>4</v>
      </c>
      <c r="G14" s="12" t="n">
        <v>3</v>
      </c>
      <c r="H14" s="12" t="n">
        <v>3</v>
      </c>
      <c r="I14" s="13">
        <f>ROUND(D14*0.3+E14*0.25+F14*0.15+G14*0.2+H14*0.1,2)</f>
        <v/>
      </c>
    </row>
    <row r="15" ht="24" customHeight="1">
      <c r="A15" s="14">
        <f>RANK(I15,$I$8:$I$17)</f>
        <v/>
      </c>
      <c r="B15" s="15" t="inlineStr">
        <is>
          <t>Prévision récolte satellite</t>
        </is>
      </c>
      <c r="C15" s="16" t="inlineStr">
        <is>
          <t>Amont Agricole</t>
        </is>
      </c>
      <c r="D15" s="17" t="n">
        <v>4</v>
      </c>
      <c r="E15" s="17" t="n">
        <v>2</v>
      </c>
      <c r="F15" s="17" t="n">
        <v>2</v>
      </c>
      <c r="G15" s="17" t="n">
        <v>4</v>
      </c>
      <c r="H15" s="17" t="n">
        <v>2</v>
      </c>
      <c r="I15" s="18">
        <f>ROUND(D15*0.3+E15*0.25+F15*0.15+G15*0.2+H15*0.1,2)</f>
        <v/>
      </c>
    </row>
    <row r="16" ht="24" customHeight="1">
      <c r="A16" s="9">
        <f>RANK(I16,$I$8:$I$17)</f>
        <v/>
      </c>
      <c r="B16" s="10" t="inlineStr">
        <is>
          <t>Optimisation process sucrier</t>
        </is>
      </c>
      <c r="C16" s="11" t="inlineStr">
        <is>
          <t>Industrielle</t>
        </is>
      </c>
      <c r="D16" s="12" t="n">
        <v>5</v>
      </c>
      <c r="E16" s="12" t="n">
        <v>2</v>
      </c>
      <c r="F16" s="12" t="n">
        <v>2</v>
      </c>
      <c r="G16" s="12" t="n">
        <v>5</v>
      </c>
      <c r="H16" s="12" t="n">
        <v>2</v>
      </c>
      <c r="I16" s="13">
        <f>ROUND(D16*0.3+E16*0.25+F16*0.15+G16*0.2+H16*0.1,2)</f>
        <v/>
      </c>
    </row>
    <row r="17" ht="24" customHeight="1">
      <c r="A17" s="14">
        <f>RANK(I17,$I$8:$I$17)</f>
        <v/>
      </c>
      <c r="B17" s="15" t="inlineStr">
        <is>
          <t>People analytics &amp; turnover</t>
        </is>
      </c>
      <c r="C17" s="16" t="inlineStr">
        <is>
          <t>RH</t>
        </is>
      </c>
      <c r="D17" s="17" t="n">
        <v>3</v>
      </c>
      <c r="E17" s="17" t="n">
        <v>3</v>
      </c>
      <c r="F17" s="17" t="n">
        <v>3</v>
      </c>
      <c r="G17" s="17" t="n">
        <v>3</v>
      </c>
      <c r="H17" s="17" t="n">
        <v>2</v>
      </c>
      <c r="I17" s="18">
        <f>ROUND(D17*0.3+E17*0.25+F17*0.15+G17*0.2+H17*0.1,2)</f>
        <v/>
      </c>
    </row>
  </sheetData>
  <mergeCells count="3">
    <mergeCell ref="A1:I2"/>
    <mergeCell ref="A4:I4"/>
    <mergeCell ref="A3:I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</cols>
  <sheetData>
    <row r="1" ht="18" customHeight="1">
      <c r="A1" s="1" t="inlineStr">
        <is>
          <t xml:space="preserve">  SIA  ·  COSUMAR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 ht="30" customHeight="1">
      <c r="A3" s="3" t="inlineStr">
        <is>
          <t>Méthodologie de priorisation</t>
        </is>
      </c>
      <c r="B3" s="4" t="n"/>
      <c r="C3" s="4" t="n"/>
      <c r="D3" s="4" t="n"/>
    </row>
    <row r="4" ht="18" customHeight="1">
      <c r="A4" s="5" t="inlineStr">
        <is>
          <t>Funnel 3 filtres &amp; cadre Build/Buy/Borrow/Bot</t>
        </is>
      </c>
      <c r="B4" s="4" t="n"/>
      <c r="C4" s="4" t="n"/>
      <c r="D4" s="4" t="n"/>
    </row>
    <row r="6" ht="26" customHeight="1">
      <c r="A6" s="19" t="inlineStr">
        <is>
          <t>Filtre 1 — Présélection collaborative</t>
        </is>
      </c>
      <c r="B6" s="20" t="inlineStr">
        <is>
          <t>40-60 idées → 20-25 UC. Ateliers participatifs, vote, alignement stratégique.</t>
        </is>
      </c>
      <c r="C6" s="21" t="n"/>
      <c r="D6" s="21" t="n"/>
    </row>
    <row r="7" ht="26" customHeight="1">
      <c r="A7" s="19" t="inlineStr">
        <is>
          <t>Filtre 2 — Qualification technique / ROI</t>
        </is>
      </c>
      <c r="B7" s="20" t="inlineStr">
        <is>
          <t>Faisabilité data/tech, business case, choix Build/Buy/Borrow/Bot.</t>
        </is>
      </c>
      <c r="C7" s="21" t="n"/>
      <c r="D7" s="21" t="n"/>
    </row>
    <row r="8" ht="26" customHeight="1">
      <c r="A8" s="19" t="inlineStr">
        <is>
          <t>Filtre 3 — Priorisation COPIL multicritère</t>
        </is>
      </c>
      <c r="B8" s="20" t="inlineStr">
        <is>
          <t>Scoring pondéré ci-contre, arbitrage COPIL, séquencement en 3 vagues.</t>
        </is>
      </c>
      <c r="C8" s="21" t="n"/>
      <c r="D8" s="21" t="n"/>
    </row>
    <row r="9" ht="26" customHeight="1">
      <c r="A9" s="22" t="inlineStr"/>
      <c r="B9" s="22" t="inlineStr"/>
    </row>
    <row r="10" ht="26" customHeight="1">
      <c r="A10" s="19" t="inlineStr">
        <is>
          <t>Critère</t>
        </is>
      </c>
      <c r="B10" s="20" t="inlineStr">
        <is>
          <t>Pondération &amp; sens</t>
        </is>
      </c>
      <c r="C10" s="21" t="n"/>
      <c r="D10" s="21" t="n"/>
    </row>
    <row r="11" ht="26" customHeight="1">
      <c r="A11" s="20" t="inlineStr">
        <is>
          <t>Valeur métier</t>
        </is>
      </c>
      <c r="B11" s="20" t="inlineStr">
        <is>
          <t>30% — gain business attendu</t>
        </is>
      </c>
      <c r="C11" s="21" t="n"/>
      <c r="D11" s="21" t="n"/>
    </row>
    <row r="12" ht="26" customHeight="1">
      <c r="A12" s="20" t="inlineStr">
        <is>
          <t>Faisabilité</t>
        </is>
      </c>
      <c r="B12" s="20" t="inlineStr">
        <is>
          <t>25% — maturité data, tech, compétences</t>
        </is>
      </c>
      <c r="C12" s="21" t="n"/>
      <c r="D12" s="21" t="n"/>
    </row>
    <row r="13" ht="26" customHeight="1">
      <c r="A13" s="20" t="inlineStr">
        <is>
          <t>Complexité d'investissement</t>
        </is>
      </c>
      <c r="B13" s="20" t="inlineStr">
        <is>
          <t>15% — note inversée (5 = faible coût)</t>
        </is>
      </c>
      <c r="C13" s="21" t="n"/>
      <c r="D13" s="21" t="n"/>
    </row>
    <row r="14" ht="26" customHeight="1">
      <c r="A14" s="20" t="inlineStr">
        <is>
          <t>Impact</t>
        </is>
      </c>
      <c r="B14" s="20" t="inlineStr">
        <is>
          <t>20% — portée, transformation, stratégie</t>
        </is>
      </c>
      <c r="C14" s="21" t="n"/>
      <c r="D14" s="21" t="n"/>
    </row>
    <row r="15" ht="26" customHeight="1">
      <c r="A15" s="20" t="inlineStr">
        <is>
          <t>Timeline</t>
        </is>
      </c>
      <c r="B15" s="20" t="inlineStr">
        <is>
          <t>10% — rapidité de mise en œuvre</t>
        </is>
      </c>
      <c r="C15" s="21" t="n"/>
      <c r="D15" s="21" t="n"/>
    </row>
    <row r="16" ht="26" customHeight="1">
      <c r="A16" s="22" t="inlineStr"/>
      <c r="B16" s="22" t="inlineStr"/>
    </row>
    <row r="17" ht="26" customHeight="1">
      <c r="A17" s="19" t="inlineStr">
        <is>
          <t>Build</t>
        </is>
      </c>
      <c r="B17" s="20" t="inlineStr">
        <is>
          <t>Développement interne — différenciant, données propriétaires</t>
        </is>
      </c>
      <c r="C17" s="21" t="n"/>
      <c r="D17" s="21" t="n"/>
    </row>
    <row r="18" ht="26" customHeight="1">
      <c r="A18" s="19" t="inlineStr">
        <is>
          <t>Buy</t>
        </is>
      </c>
      <c r="B18" s="20" t="inlineStr">
        <is>
          <t>Solution éditeur — besoin standard, time-to-market</t>
        </is>
      </c>
      <c r="C18" s="21" t="n"/>
      <c r="D18" s="21" t="n"/>
    </row>
    <row r="19" ht="26" customHeight="1">
      <c r="A19" s="19" t="inlineStr">
        <is>
          <t>Borrow</t>
        </is>
      </c>
      <c r="B19" s="20" t="inlineStr">
        <is>
          <t>Partenaire / API — expertise externe, capacité ponctuelle</t>
        </is>
      </c>
      <c r="C19" s="21" t="n"/>
      <c r="D19" s="21" t="n"/>
    </row>
    <row r="20" ht="26" customHeight="1">
      <c r="A20" s="19" t="inlineStr">
        <is>
          <t>Bot</t>
        </is>
      </c>
      <c r="B20" s="20" t="inlineStr">
        <is>
          <t>Automatisation / RPA — tâches répétitives à règles</t>
        </is>
      </c>
      <c r="C20" s="21" t="n"/>
      <c r="D20" s="21" t="n"/>
    </row>
  </sheetData>
  <mergeCells count="18">
    <mergeCell ref="B10:D10"/>
    <mergeCell ref="B11:D11"/>
    <mergeCell ref="A1:D2"/>
    <mergeCell ref="B19:D19"/>
    <mergeCell ref="B14:D14"/>
    <mergeCell ref="B15:D15"/>
    <mergeCell ref="A4:D4"/>
    <mergeCell ref="B8:D8"/>
    <mergeCell ref="A3:D3"/>
    <mergeCell ref="B17:D17"/>
    <mergeCell ref="B9:D9"/>
    <mergeCell ref="B13:D13"/>
    <mergeCell ref="B18:D18"/>
    <mergeCell ref="B12:D12"/>
    <mergeCell ref="B7:D7"/>
    <mergeCell ref="B6:D6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2026-06-11T17:07:07Z</dcterms:created>
  <dcterms:modified xsi:type="dcterms:W3CDTF">2026-06-11T17:07:07Z</dcterms:modified>
</cp:coreProperties>
</file>