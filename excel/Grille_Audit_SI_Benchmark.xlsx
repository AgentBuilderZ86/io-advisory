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 SI" sheetId="1" state="visible" r:id="rId1"/>
    <sheet name="Benchmark Opéra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A896"/>
      <sz val="11"/>
    </font>
    <font>
      <name val="Calibri"/>
      <b val="1"/>
      <color rgb="00FFFFFF"/>
      <sz val="18"/>
    </font>
    <font>
      <name val="Calibri"/>
      <color rgb="00DCE6F2"/>
      <sz val="10"/>
    </font>
    <font>
      <name val="Calibri"/>
      <b val="1"/>
      <color rgb="00FFFFFF"/>
      <sz val="10"/>
    </font>
    <font>
      <name val="Calibri"/>
      <b val="1"/>
      <color rgb="000D2B45"/>
      <sz val="10"/>
    </font>
    <font>
      <name val="Calibri"/>
      <color rgb="001A2744"/>
      <sz val="10"/>
    </font>
    <font>
      <name val="Calibri"/>
      <color rgb="006B7A99"/>
      <sz val="9"/>
    </font>
    <font>
      <b val="1"/>
      <color rgb="0000A896"/>
    </font>
    <font>
      <b val="1"/>
      <color rgb="000D2B45"/>
      <sz val="10"/>
    </font>
    <font>
      <b val="1"/>
      <color rgb="0000A896"/>
      <sz val="10"/>
    </font>
  </fonts>
  <fills count="8">
    <fill>
      <patternFill/>
    </fill>
    <fill>
      <patternFill patternType="gray125"/>
    </fill>
    <fill>
      <patternFill patternType="solid">
        <fgColor rgb="000D2B4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6F7F4"/>
      </patternFill>
    </fill>
  </fills>
  <borders count="2">
    <border>
      <left/>
      <right/>
      <top/>
      <bottom/>
      <diagonal/>
    </border>
    <border>
      <left style="thin">
        <color rgb="00D8E0EC"/>
      </left>
      <right style="thin">
        <color rgb="00D8E0EC"/>
      </right>
      <top style="thin">
        <color rgb="00D8E0EC"/>
      </top>
      <bottom style="thin">
        <color rgb="00D8E0E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Potentiel IA par système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'Inventaire SI'!G6</f>
            </strRef>
          </tx>
          <spPr>
            <a:ln>
              <a:prstDash val="solid"/>
            </a:ln>
          </spPr>
          <cat>
            <numRef>
              <f>'Inventaire SI'!$A$7:$A$19</f>
            </numRef>
          </cat>
          <val>
            <numRef>
              <f>'Inventaire SI'!$G$7:$G$19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Maturité IA vs Data — Benchmark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 Opérateurs'!C6</f>
            </strRef>
          </tx>
          <spPr>
            <a:ln>
              <a:prstDash val="solid"/>
            </a:ln>
          </spPr>
          <cat>
            <numRef>
              <f>'Benchmark Opérateurs'!$A$7:$A$20</f>
            </numRef>
          </cat>
          <val>
            <numRef>
              <f>'Benchmark Opérateurs'!$C$7:$C$20</f>
            </numRef>
          </val>
        </ser>
        <ser>
          <idx val="1"/>
          <order val="1"/>
          <tx>
            <strRef>
              <f>'Benchmark Opérateurs'!D6</f>
            </strRef>
          </tx>
          <spPr>
            <a:ln>
              <a:prstDash val="solid"/>
            </a:ln>
          </spPr>
          <cat>
            <numRef>
              <f>'Benchmark Opérateurs'!$A$7:$A$20</f>
            </numRef>
          </cat>
          <val>
            <numRef>
              <f>'Benchmark Opérateurs'!$D$7:$D$20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30" customHeight="1">
      <c r="A3" s="3" t="inlineStr">
        <is>
          <t>Audit du Système d'Information</t>
        </is>
      </c>
      <c r="B3" s="4" t="n"/>
      <c r="C3" s="4" t="n"/>
      <c r="D3" s="4" t="n"/>
      <c r="E3" s="4" t="n"/>
      <c r="F3" s="4" t="n"/>
      <c r="G3" s="4" t="n"/>
    </row>
    <row r="4" ht="18" customHeight="1">
      <c r="A4" s="5" t="inlineStr">
        <is>
          <t>Inventaire des 13 systèmes &amp; évaluation (10 critères)</t>
        </is>
      </c>
      <c r="B4" s="4" t="n"/>
      <c r="C4" s="4" t="n"/>
      <c r="D4" s="4" t="n"/>
      <c r="E4" s="4" t="n"/>
      <c r="F4" s="4" t="n"/>
      <c r="G4" s="4" t="n"/>
    </row>
    <row r="6" ht="28" customHeight="1">
      <c r="A6" s="6" t="inlineStr">
        <is>
          <t>Système</t>
        </is>
      </c>
      <c r="B6" s="6" t="inlineStr">
        <is>
          <t>Description</t>
        </is>
      </c>
      <c r="C6" s="6" t="inlineStr">
        <is>
          <t>Direction</t>
        </is>
      </c>
      <c r="D6" s="6" t="inlineStr">
        <is>
          <t>Criticité (1-5)</t>
        </is>
      </c>
      <c r="E6" s="6" t="inlineStr">
        <is>
          <t>Qualité data (1-5)</t>
        </is>
      </c>
      <c r="F6" s="6" t="inlineStr">
        <is>
          <t>Ouverture API (1-5)</t>
        </is>
      </c>
      <c r="G6" s="6" t="inlineStr">
        <is>
          <t>Potentiel IA (1-5)</t>
        </is>
      </c>
    </row>
    <row r="7" ht="26" customHeight="1">
      <c r="A7" s="7" t="inlineStr">
        <is>
          <t>SAP S/4 HANA</t>
        </is>
      </c>
      <c r="B7" s="8" t="inlineStr">
        <is>
          <t>ERP cœur (MM, PP, PM, QM, CO, FI, SD, LE)</t>
        </is>
      </c>
      <c r="C7" s="9" t="inlineStr">
        <is>
          <t>Finance / Industrie / SC</t>
        </is>
      </c>
      <c r="D7" s="10" t="n">
        <v>5</v>
      </c>
      <c r="E7" s="10" t="n">
        <v>4</v>
      </c>
      <c r="F7" s="10" t="n">
        <v>4</v>
      </c>
      <c r="G7" s="10" t="n">
        <v>5</v>
      </c>
    </row>
    <row r="8" ht="26" customHeight="1">
      <c r="A8" s="11" t="inlineStr">
        <is>
          <t>SAP Ariba</t>
        </is>
      </c>
      <c r="B8" s="12" t="inlineStr">
        <is>
          <t>Achats &amp; sourcing</t>
        </is>
      </c>
      <c r="C8" s="13" t="inlineStr">
        <is>
          <t>Achats</t>
        </is>
      </c>
      <c r="D8" s="14" t="n">
        <v>3</v>
      </c>
      <c r="E8" s="14" t="n">
        <v>3</v>
      </c>
      <c r="F8" s="14" t="n">
        <v>3</v>
      </c>
      <c r="G8" s="14" t="n">
        <v>3</v>
      </c>
    </row>
    <row r="9" ht="26" customHeight="1">
      <c r="A9" s="7" t="inlineStr">
        <is>
          <t>Salesforce / C4C</t>
        </is>
      </c>
      <c r="B9" s="8" t="inlineStr">
        <is>
          <t>CRM &amp; relation client</t>
        </is>
      </c>
      <c r="C9" s="9" t="inlineStr">
        <is>
          <t>Commerciale</t>
        </is>
      </c>
      <c r="D9" s="10" t="n">
        <v>4</v>
      </c>
      <c r="E9" s="10" t="n">
        <v>3</v>
      </c>
      <c r="F9" s="10" t="n">
        <v>4</v>
      </c>
      <c r="G9" s="10" t="n">
        <v>4</v>
      </c>
    </row>
    <row r="10" ht="26" customHeight="1">
      <c r="A10" s="11" t="inlineStr">
        <is>
          <t>Qubes MES</t>
        </is>
      </c>
      <c r="B10" s="12" t="inlineStr">
        <is>
          <t>Manufacturing Execution System</t>
        </is>
      </c>
      <c r="C10" s="13" t="inlineStr">
        <is>
          <t>Industrielle</t>
        </is>
      </c>
      <c r="D10" s="14" t="n">
        <v>5</v>
      </c>
      <c r="E10" s="14" t="n">
        <v>4</v>
      </c>
      <c r="F10" s="14" t="n">
        <v>3</v>
      </c>
      <c r="G10" s="14" t="n">
        <v>5</v>
      </c>
    </row>
    <row r="11" ht="26" customHeight="1">
      <c r="A11" s="7" t="inlineStr">
        <is>
          <t>SCERI</t>
        </is>
      </c>
      <c r="B11" s="8" t="inlineStr">
        <is>
          <t>Gestion agricole amont</t>
        </is>
      </c>
      <c r="C11" s="9" t="inlineStr">
        <is>
          <t>Amont Agricole</t>
        </is>
      </c>
      <c r="D11" s="10" t="n">
        <v>4</v>
      </c>
      <c r="E11" s="10" t="n">
        <v>3</v>
      </c>
      <c r="F11" s="10" t="n">
        <v>2</v>
      </c>
      <c r="G11" s="10" t="n">
        <v>4</v>
      </c>
    </row>
    <row r="12" ht="26" customHeight="1">
      <c r="A12" s="11" t="inlineStr">
        <is>
          <t>HR Access</t>
        </is>
      </c>
      <c r="B12" s="12" t="inlineStr">
        <is>
          <t>SIRH</t>
        </is>
      </c>
      <c r="C12" s="13" t="inlineStr">
        <is>
          <t>RH</t>
        </is>
      </c>
      <c r="D12" s="14" t="n">
        <v>3</v>
      </c>
      <c r="E12" s="14" t="n">
        <v>3</v>
      </c>
      <c r="F12" s="14" t="n">
        <v>2</v>
      </c>
      <c r="G12" s="14" t="n">
        <v>3</v>
      </c>
    </row>
    <row r="13" ht="26" customHeight="1">
      <c r="A13" s="7" t="inlineStr">
        <is>
          <t>SAP IBP</t>
        </is>
      </c>
      <c r="B13" s="8" t="inlineStr">
        <is>
          <t>Integrated Business Planning</t>
        </is>
      </c>
      <c r="C13" s="9" t="inlineStr">
        <is>
          <t>Supply Chain</t>
        </is>
      </c>
      <c r="D13" s="10" t="n">
        <v>4</v>
      </c>
      <c r="E13" s="10" t="n">
        <v>4</v>
      </c>
      <c r="F13" s="10" t="n">
        <v>4</v>
      </c>
      <c r="G13" s="10" t="n">
        <v>5</v>
      </c>
    </row>
    <row r="14" ht="26" customHeight="1">
      <c r="A14" s="11" t="inlineStr">
        <is>
          <t>SAP BPC</t>
        </is>
      </c>
      <c r="B14" s="12" t="inlineStr">
        <is>
          <t>Planification &amp; consolidation</t>
        </is>
      </c>
      <c r="C14" s="13" t="inlineStr">
        <is>
          <t>Finance</t>
        </is>
      </c>
      <c r="D14" s="14" t="n">
        <v>3</v>
      </c>
      <c r="E14" s="14" t="n">
        <v>4</v>
      </c>
      <c r="F14" s="14" t="n">
        <v>3</v>
      </c>
      <c r="G14" s="14" t="n">
        <v>3</v>
      </c>
    </row>
    <row r="15" ht="26" customHeight="1">
      <c r="A15" s="7" t="inlineStr">
        <is>
          <t>Business Objects</t>
        </is>
      </c>
      <c r="B15" s="8" t="inlineStr">
        <is>
          <t>Reporting BI</t>
        </is>
      </c>
      <c r="C15" s="9" t="inlineStr">
        <is>
          <t>Transversal</t>
        </is>
      </c>
      <c r="D15" s="10" t="n">
        <v>3</v>
      </c>
      <c r="E15" s="10" t="n">
        <v>3</v>
      </c>
      <c r="F15" s="10" t="n">
        <v>2</v>
      </c>
      <c r="G15" s="10" t="n">
        <v>2</v>
      </c>
    </row>
    <row r="16" ht="26" customHeight="1">
      <c r="A16" s="11" t="inlineStr">
        <is>
          <t>Power BI</t>
        </is>
      </c>
      <c r="B16" s="12" t="inlineStr">
        <is>
          <t>Dataviz &amp; dashboards</t>
        </is>
      </c>
      <c r="C16" s="13" t="inlineStr">
        <is>
          <t>Transversal</t>
        </is>
      </c>
      <c r="D16" s="14" t="n">
        <v>4</v>
      </c>
      <c r="E16" s="14" t="n">
        <v>4</v>
      </c>
      <c r="F16" s="14" t="n">
        <v>4</v>
      </c>
      <c r="G16" s="14" t="n">
        <v>4</v>
      </c>
    </row>
    <row r="17" ht="26" customHeight="1">
      <c r="A17" s="7" t="inlineStr">
        <is>
          <t>Attaissir</t>
        </is>
      </c>
      <c r="B17" s="8" t="inlineStr">
        <is>
          <t>Solution métier locale</t>
        </is>
      </c>
      <c r="C17" s="9" t="inlineStr">
        <is>
          <t>Transversal</t>
        </is>
      </c>
      <c r="D17" s="10" t="n">
        <v>2</v>
      </c>
      <c r="E17" s="10" t="n">
        <v>2</v>
      </c>
      <c r="F17" s="10" t="n">
        <v>2</v>
      </c>
      <c r="G17" s="10" t="n">
        <v>2</v>
      </c>
    </row>
    <row r="18" ht="26" customHeight="1">
      <c r="A18" s="11" t="inlineStr">
        <is>
          <t>Data Lake / DWH</t>
        </is>
      </c>
      <c r="B18" s="12" t="inlineStr">
        <is>
          <t>Stockage analytique</t>
        </is>
      </c>
      <c r="C18" s="13" t="inlineStr">
        <is>
          <t>SI / Data</t>
        </is>
      </c>
      <c r="D18" s="14" t="n">
        <v>4</v>
      </c>
      <c r="E18" s="14" t="n">
        <v>3</v>
      </c>
      <c r="F18" s="14" t="n">
        <v>4</v>
      </c>
      <c r="G18" s="14" t="n">
        <v>5</v>
      </c>
    </row>
    <row r="19" ht="26" customHeight="1">
      <c r="A19" s="7" t="inlineStr">
        <is>
          <t>Portail collaboratif</t>
        </is>
      </c>
      <c r="B19" s="8" t="inlineStr">
        <is>
          <t>Intranet &amp; GED</t>
        </is>
      </c>
      <c r="C19" s="9" t="inlineStr">
        <is>
          <t>SI</t>
        </is>
      </c>
      <c r="D19" s="10" t="n">
        <v>2</v>
      </c>
      <c r="E19" s="10" t="n">
        <v>3</v>
      </c>
      <c r="F19" s="10" t="n">
        <v>3</v>
      </c>
      <c r="G19" s="10" t="n">
        <v>2</v>
      </c>
    </row>
    <row r="20">
      <c r="A20" s="15" t="inlineStr">
        <is>
          <t>Moyenne</t>
        </is>
      </c>
      <c r="B20" s="16" t="n"/>
      <c r="C20" s="16" t="n"/>
      <c r="D20" s="17">
        <f>ROUND(AVERAGE(D7:D19),1)</f>
        <v/>
      </c>
      <c r="E20" s="17">
        <f>ROUND(AVERAGE(E7:E19),1)</f>
        <v/>
      </c>
      <c r="F20" s="17">
        <f>ROUND(AVERAGE(F7:F19),1)</f>
        <v/>
      </c>
      <c r="G20" s="17">
        <f>ROUND(AVERAGE(G7:G19),1)</f>
        <v/>
      </c>
    </row>
  </sheetData>
  <mergeCells count="3">
    <mergeCell ref="A3:G3"/>
    <mergeCell ref="A4:G4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6" customWidth="1" min="4" max="4"/>
    <col width="44" customWidth="1" min="5" max="5"/>
  </cols>
  <sheetData>
    <row r="1" ht="18" customHeight="1">
      <c r="A1" s="1" t="inlineStr">
        <is>
          <t xml:space="preserve">  SIA  ·  COSUMAR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0" customHeight="1">
      <c r="A3" s="3" t="inlineStr">
        <is>
          <t>Benchmark sectoriel — opérateurs sucriers</t>
        </is>
      </c>
      <c r="B3" s="4" t="n"/>
      <c r="C3" s="4" t="n"/>
      <c r="D3" s="4" t="n"/>
      <c r="E3" s="4" t="n"/>
      <c r="F3" s="4" t="n"/>
    </row>
    <row r="4" ht="18" customHeight="1">
      <c r="A4" s="5" t="inlineStr">
        <is>
          <t>14 opérateurs · maturité IA &amp; Data (score /5)</t>
        </is>
      </c>
      <c r="B4" s="4" t="n"/>
      <c r="C4" s="4" t="n"/>
      <c r="D4" s="4" t="n"/>
      <c r="E4" s="4" t="n"/>
      <c r="F4" s="4" t="n"/>
    </row>
    <row r="6" ht="28" customHeight="1">
      <c r="A6" s="6" t="inlineStr">
        <is>
          <t>Opérateur</t>
        </is>
      </c>
      <c r="B6" s="6" t="inlineStr">
        <is>
          <t>Pays</t>
        </is>
      </c>
      <c r="C6" s="6" t="inlineStr">
        <is>
          <t>Maturité IA (/5)</t>
        </is>
      </c>
      <c r="D6" s="6" t="inlineStr">
        <is>
          <t>Maturité Data (/5)</t>
        </is>
      </c>
      <c r="E6" s="6" t="inlineStr">
        <is>
          <t>Initiatives phares</t>
        </is>
      </c>
    </row>
    <row r="7" ht="24" customHeight="1">
      <c r="A7" s="18" t="inlineStr">
        <is>
          <t>Tereos</t>
        </is>
      </c>
      <c r="B7" s="19" t="inlineStr">
        <is>
          <t>France</t>
        </is>
      </c>
      <c r="C7" s="10" t="n">
        <v>3.5</v>
      </c>
      <c r="D7" s="10" t="n">
        <v>3.2</v>
      </c>
      <c r="E7" s="8" t="inlineStr">
        <is>
          <t>Optimisation agronomique, IoT industriel</t>
        </is>
      </c>
    </row>
    <row r="8" ht="24" customHeight="1">
      <c r="A8" s="20" t="inlineStr">
        <is>
          <t>Südzucker</t>
        </is>
      </c>
      <c r="B8" s="21" t="inlineStr">
        <is>
          <t>Allemagne</t>
        </is>
      </c>
      <c r="C8" s="14" t="n">
        <v>3.8</v>
      </c>
      <c r="D8" s="14" t="n">
        <v>3.6</v>
      </c>
      <c r="E8" s="12" t="inlineStr">
        <is>
          <t>Maintenance prédictive, jumeau numérique</t>
        </is>
      </c>
    </row>
    <row r="9" ht="24" customHeight="1">
      <c r="A9" s="18" t="inlineStr">
        <is>
          <t>Al Khaleej</t>
        </is>
      </c>
      <c r="B9" s="19" t="inlineStr">
        <is>
          <t>Arabie Saoudite</t>
        </is>
      </c>
      <c r="C9" s="10" t="n">
        <v>2.8</v>
      </c>
      <c r="D9" s="10" t="n">
        <v>2.6</v>
      </c>
      <c r="E9" s="8" t="inlineStr">
        <is>
          <t>Automatisation raffinage</t>
        </is>
      </c>
    </row>
    <row r="10" ht="24" customHeight="1">
      <c r="A10" s="20" t="inlineStr">
        <is>
          <t>Illovo Sugar</t>
        </is>
      </c>
      <c r="B10" s="21" t="inlineStr">
        <is>
          <t>Afrique du Sud</t>
        </is>
      </c>
      <c r="C10" s="14" t="n">
        <v>2.9</v>
      </c>
      <c r="D10" s="14" t="n">
        <v>2.7</v>
      </c>
      <c r="E10" s="12" t="inlineStr">
        <is>
          <t>Prévision récolte, télédétection</t>
        </is>
      </c>
    </row>
    <row r="11" ht="24" customHeight="1">
      <c r="A11" s="18" t="inlineStr">
        <is>
          <t>Cristal Union</t>
        </is>
      </c>
      <c r="B11" s="19" t="inlineStr">
        <is>
          <t>France</t>
        </is>
      </c>
      <c r="C11" s="10" t="n">
        <v>3.3</v>
      </c>
      <c r="D11" s="10" t="n">
        <v>3</v>
      </c>
      <c r="E11" s="8" t="inlineStr">
        <is>
          <t>Demand forecasting, énergie</t>
        </is>
      </c>
    </row>
    <row r="12" ht="24" customHeight="1">
      <c r="A12" s="20" t="inlineStr">
        <is>
          <t>Nordzucker</t>
        </is>
      </c>
      <c r="B12" s="21" t="inlineStr">
        <is>
          <t>Allemagne</t>
        </is>
      </c>
      <c r="C12" s="14" t="n">
        <v>3.6</v>
      </c>
      <c r="D12" s="14" t="n">
        <v>3.4</v>
      </c>
      <c r="E12" s="12" t="inlineStr">
        <is>
          <t>Analytics avancé, durabilité</t>
        </is>
      </c>
    </row>
    <row r="13" ht="24" customHeight="1">
      <c r="A13" s="18" t="inlineStr">
        <is>
          <t>ASR Group</t>
        </is>
      </c>
      <c r="B13" s="19" t="inlineStr">
        <is>
          <t>USA</t>
        </is>
      </c>
      <c r="C13" s="10" t="n">
        <v>3.4</v>
      </c>
      <c r="D13" s="10" t="n">
        <v>3.1</v>
      </c>
      <c r="E13" s="8" t="inlineStr">
        <is>
          <t>Supply chain IA, traçabilité</t>
        </is>
      </c>
    </row>
    <row r="14" ht="24" customHeight="1">
      <c r="A14" s="20" t="inlineStr">
        <is>
          <t>Wilmar Sugar</t>
        </is>
      </c>
      <c r="B14" s="21" t="inlineStr">
        <is>
          <t>Singapour</t>
        </is>
      </c>
      <c r="C14" s="14" t="n">
        <v>3</v>
      </c>
      <c r="D14" s="14" t="n">
        <v>2.9</v>
      </c>
      <c r="E14" s="12" t="inlineStr">
        <is>
          <t>Optimisation logistique</t>
        </is>
      </c>
    </row>
    <row r="15" ht="24" customHeight="1">
      <c r="A15" s="18" t="inlineStr">
        <is>
          <t>Mitr Phol</t>
        </is>
      </c>
      <c r="B15" s="19" t="inlineStr">
        <is>
          <t>Thaïlande</t>
        </is>
      </c>
      <c r="C15" s="10" t="n">
        <v>3.1</v>
      </c>
      <c r="D15" s="10" t="n">
        <v>2.8</v>
      </c>
      <c r="E15" s="8" t="inlineStr">
        <is>
          <t>Agriculture de précision</t>
        </is>
      </c>
    </row>
    <row r="16" ht="24" customHeight="1">
      <c r="A16" s="20" t="inlineStr">
        <is>
          <t>Raízen</t>
        </is>
      </c>
      <c r="B16" s="21" t="inlineStr">
        <is>
          <t>Brésil</t>
        </is>
      </c>
      <c r="C16" s="14" t="n">
        <v>3.7</v>
      </c>
      <c r="D16" s="14" t="n">
        <v>3.5</v>
      </c>
      <c r="E16" s="12" t="inlineStr">
        <is>
          <t>Bioénergie, optimisation process</t>
        </is>
      </c>
    </row>
    <row r="17" ht="24" customHeight="1">
      <c r="A17" s="18" t="inlineStr">
        <is>
          <t>Dangote Sugar</t>
        </is>
      </c>
      <c r="B17" s="19" t="inlineStr">
        <is>
          <t>Nigeria</t>
        </is>
      </c>
      <c r="C17" s="10" t="n">
        <v>2.5</v>
      </c>
      <c r="D17" s="10" t="n">
        <v>2.3</v>
      </c>
      <c r="E17" s="8" t="inlineStr">
        <is>
          <t>Digitalisation amont</t>
        </is>
      </c>
    </row>
    <row r="18" ht="24" customHeight="1">
      <c r="A18" s="20" t="inlineStr">
        <is>
          <t>Kenana Sugar</t>
        </is>
      </c>
      <c r="B18" s="21" t="inlineStr">
        <is>
          <t>Soudan</t>
        </is>
      </c>
      <c r="C18" s="14" t="n">
        <v>2.4</v>
      </c>
      <c r="D18" s="14" t="n">
        <v>2.2</v>
      </c>
      <c r="E18" s="12" t="inlineStr">
        <is>
          <t>Gestion irrigation</t>
        </is>
      </c>
    </row>
    <row r="19" ht="24" customHeight="1">
      <c r="A19" s="22" t="inlineStr">
        <is>
          <t>Cosumar (cible)</t>
        </is>
      </c>
      <c r="B19" s="23" t="inlineStr">
        <is>
          <t>Maroc</t>
        </is>
      </c>
      <c r="C19" s="24" t="n">
        <v>2.6</v>
      </c>
      <c r="D19" s="24" t="n">
        <v>2.5</v>
      </c>
      <c r="E19" s="25" t="inlineStr">
        <is>
          <t>Roadmap IA en cours — Sia</t>
        </is>
      </c>
    </row>
    <row r="20" ht="24" customHeight="1">
      <c r="A20" s="20" t="inlineStr">
        <is>
          <t>Moyenne secteur</t>
        </is>
      </c>
      <c r="B20" s="21" t="inlineStr">
        <is>
          <t>—</t>
        </is>
      </c>
      <c r="C20" s="14" t="n">
        <v>3.1</v>
      </c>
      <c r="D20" s="14" t="n">
        <v>2.9</v>
      </c>
      <c r="E20" s="12" t="inlineStr">
        <is>
          <t>Référence comparative</t>
        </is>
      </c>
    </row>
  </sheetData>
  <mergeCells count="3">
    <mergeCell ref="A3:F3"/>
    <mergeCell ref="A4:F4"/>
    <mergeCell ref="A1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2026-06-11T17:07:07Z</dcterms:created>
  <dcterms:modified xsi:type="dcterms:W3CDTF">2026-06-11T17:07:07Z</dcterms:modified>
</cp:coreProperties>
</file>